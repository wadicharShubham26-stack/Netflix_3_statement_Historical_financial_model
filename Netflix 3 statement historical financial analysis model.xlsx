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tflix 3 statement model\"/>
    </mc:Choice>
  </mc:AlternateContent>
  <xr:revisionPtr revIDLastSave="0" documentId="8_{88F26ECA-B102-4046-A408-427995F20494}" xr6:coauthVersionLast="47" xr6:coauthVersionMax="47" xr10:uidLastSave="{00000000-0000-0000-0000-000000000000}"/>
  <bookViews>
    <workbookView xWindow="-108" yWindow="-108" windowWidth="23256" windowHeight="12456" xr2:uid="{65A3B9DC-6CDB-4A51-8BA9-294EF79029AD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8" i="1" l="1"/>
  <c r="D58" i="1"/>
  <c r="D53" i="1"/>
  <c r="E51" i="1"/>
  <c r="E53" i="1" s="1"/>
  <c r="E55" i="1" s="1"/>
  <c r="D51" i="1"/>
  <c r="E46" i="1"/>
  <c r="D46" i="1"/>
  <c r="D55" i="1" s="1"/>
  <c r="E30" i="1"/>
  <c r="C30" i="1"/>
  <c r="E29" i="1"/>
  <c r="D29" i="1"/>
  <c r="E16" i="1"/>
  <c r="E31" i="1" s="1"/>
  <c r="C16" i="1"/>
  <c r="C19" i="1" s="1"/>
  <c r="C21" i="1" s="1"/>
  <c r="E12" i="1"/>
  <c r="D12" i="1"/>
  <c r="D30" i="1" s="1"/>
  <c r="C12" i="1"/>
  <c r="C68" i="1" l="1"/>
  <c r="C72" i="1" s="1"/>
  <c r="C24" i="1"/>
  <c r="C32" i="1"/>
  <c r="D16" i="1"/>
  <c r="E19" i="1"/>
  <c r="E21" i="1" s="1"/>
  <c r="C31" i="1"/>
  <c r="D31" i="1" l="1"/>
  <c r="D19" i="1"/>
  <c r="D21" i="1" s="1"/>
  <c r="E24" i="1"/>
  <c r="E59" i="1"/>
  <c r="E32" i="1"/>
  <c r="E68" i="1"/>
  <c r="E72" i="1" s="1"/>
  <c r="C84" i="1"/>
  <c r="C76" i="1"/>
  <c r="C78" i="1" s="1"/>
  <c r="C80" i="1" s="1"/>
  <c r="E76" i="1" l="1"/>
  <c r="E78" i="1" s="1"/>
  <c r="E80" i="1" s="1"/>
  <c r="E84" i="1"/>
  <c r="D24" i="1"/>
  <c r="D59" i="1"/>
  <c r="D32" i="1"/>
  <c r="D68" i="1"/>
  <c r="D72" i="1" s="1"/>
  <c r="D84" i="1" l="1"/>
  <c r="D76" i="1"/>
  <c r="D78" i="1" s="1"/>
  <c r="D80" i="1" s="1"/>
</calcChain>
</file>

<file path=xl/sharedStrings.xml><?xml version="1.0" encoding="utf-8"?>
<sst xmlns="http://schemas.openxmlformats.org/spreadsheetml/2006/main" count="70" uniqueCount="66">
  <si>
    <t>NETFLIX INC</t>
  </si>
  <si>
    <t>3- Statement Historical Financial Analysis Model</t>
  </si>
  <si>
    <t xml:space="preserve"> INCOME STATEMENT</t>
  </si>
  <si>
    <t>(in thousands, except per share data)</t>
  </si>
  <si>
    <t>Particulars</t>
  </si>
  <si>
    <t>Revenue</t>
  </si>
  <si>
    <t>Cost of revenue</t>
  </si>
  <si>
    <t>Gross Profit</t>
  </si>
  <si>
    <t>Sales and marketing</t>
  </si>
  <si>
    <t>Technology and development</t>
  </si>
  <si>
    <t>General and administrative</t>
  </si>
  <si>
    <t>Operating Income (EBIT)</t>
  </si>
  <si>
    <t>Interest Expense</t>
  </si>
  <si>
    <t>Interest and other income (expense)</t>
  </si>
  <si>
    <t>Income before income taxes</t>
  </si>
  <si>
    <t>Provision for income taxes</t>
  </si>
  <si>
    <t>Net income</t>
  </si>
  <si>
    <t>Weighted-average shares of common stock outstanding- Diluted</t>
  </si>
  <si>
    <t>Diluted-EPS</t>
  </si>
  <si>
    <t>Margins / Growth Rates</t>
  </si>
  <si>
    <t>Revenue Growth</t>
  </si>
  <si>
    <t>Gross Margin %</t>
  </si>
  <si>
    <t>Operating Margin %</t>
  </si>
  <si>
    <t xml:space="preserve">Net Profit Margin % </t>
  </si>
  <si>
    <t>Interpretation</t>
  </si>
  <si>
    <t>The revenue is growing consistently indicating stable subscribers base and pricing growth.</t>
  </si>
  <si>
    <t xml:space="preserve"> The profitability of Netflix Inc is strengthening because of operational efficiency.</t>
  </si>
  <si>
    <t>BALANCE SHEET</t>
  </si>
  <si>
    <t xml:space="preserve"> (in thousands, as of December 31)</t>
  </si>
  <si>
    <t>Assets</t>
  </si>
  <si>
    <t>Cash , cash equivalents and restricted cash</t>
  </si>
  <si>
    <t>Content assets, net</t>
  </si>
  <si>
    <t>Other assets</t>
  </si>
  <si>
    <t>Total assets</t>
  </si>
  <si>
    <t xml:space="preserve">Liability </t>
  </si>
  <si>
    <t>Debt</t>
  </si>
  <si>
    <t>Other liabilities</t>
  </si>
  <si>
    <t>Total liabilities</t>
  </si>
  <si>
    <t>Total stockholder's equity</t>
  </si>
  <si>
    <t>Total liabilities and stockholders' equity</t>
  </si>
  <si>
    <t>Balance Sheet Check</t>
  </si>
  <si>
    <t>Debt to Equity  Ratio</t>
  </si>
  <si>
    <t>ROE</t>
  </si>
  <si>
    <t>Debt to equity declined from 0.63 to 0.54, indicating reduced leverage and improved financial stability.</t>
  </si>
  <si>
    <t>ROE improved from 35% to 40 % , reflecting strong profitability and efficient utilization of shareholder capital.</t>
  </si>
  <si>
    <t>CASH FLOW STATEMENT</t>
  </si>
  <si>
    <t>(in thousands)Year Ended December 31,</t>
  </si>
  <si>
    <t>Amortization of content assets</t>
  </si>
  <si>
    <t>Additions to content assets</t>
  </si>
  <si>
    <t xml:space="preserve">Other operating activites </t>
  </si>
  <si>
    <t>Net cash provided by operating activities</t>
  </si>
  <si>
    <t>Net cash used in investing</t>
  </si>
  <si>
    <t>Net cash used in financing</t>
  </si>
  <si>
    <t>Net increase in cash</t>
  </si>
  <si>
    <t>Exchange rate effect on cash and restricted cash</t>
  </si>
  <si>
    <t>Net Increase in cash and restrcited cash</t>
  </si>
  <si>
    <t>cash at beginning of year and restricted cash</t>
  </si>
  <si>
    <t>cash at the end of the year and restricted cash</t>
  </si>
  <si>
    <t>* (The cash at beginning and end of year in cash flow statement doesn’t match the balance sheet because of the effect of exhange rate and restricted cash.)</t>
  </si>
  <si>
    <t xml:space="preserve">Free Cash Flow </t>
  </si>
  <si>
    <t>Interpretation : Free cash flow remained negative reflecting Netflix growth focused strategy and continued investments in content.</t>
  </si>
  <si>
    <t>Overall Financial Performance Summary(2023-2025)</t>
  </si>
  <si>
    <t>Netflix demonstrated strong revenue growth from 2023 to 2025.</t>
  </si>
  <si>
    <t>The margins improved consistently, reflecting strong profitability and operational efficiency.</t>
  </si>
  <si>
    <t>Reduced leverage and improved ROE indicates strengthening financial stability.</t>
  </si>
  <si>
    <t xml:space="preserve">Although the free cash flow remained negative due to heavy investments in content.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</si>
</sst>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_ ;_-[$$-409]* \-#,##0\ ;_-[$$-409]* &quot;-&quot;??_ ;_-@_ "/>
    <numFmt numFmtId="165" formatCode="_-[$$-409]* #,##0.00_ ;_-[$$-409]* \-#,##0.00\ ;_-[$$-409]* &quot;-&quot;??_ ;_-@_ "/>
    <numFmt numFmtId="166" formatCode="_(&quot;$&quot;* #,##0_);_(&quot;$&quot;* \(#,##0\);_(&quot;$&quot;* &quot;-&quot;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A0A0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2" borderId="0" xfId="0" applyFill="1"/>
    <xf numFmtId="164" fontId="5" fillId="0" borderId="0" xfId="0" applyNumberFormat="1" applyFont="1"/>
    <xf numFmtId="165" fontId="0" fillId="0" borderId="0" xfId="0" applyNumberFormat="1"/>
    <xf numFmtId="3" fontId="5" fillId="0" borderId="0" xfId="0" applyNumberFormat="1" applyFont="1"/>
    <xf numFmtId="3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6" fontId="5" fillId="0" borderId="0" xfId="0" applyNumberFormat="1" applyFont="1"/>
    <xf numFmtId="37" fontId="5" fillId="0" borderId="0" xfId="0" applyNumberFormat="1" applyFont="1"/>
    <xf numFmtId="0" fontId="5" fillId="0" borderId="0" xfId="0" applyFont="1"/>
    <xf numFmtId="166" fontId="0" fillId="0" borderId="0" xfId="0" applyNumberFormat="1"/>
    <xf numFmtId="2" fontId="0" fillId="0" borderId="0" xfId="0" applyNumberFormat="1"/>
    <xf numFmtId="9" fontId="0" fillId="0" borderId="0" xfId="1" applyFont="1"/>
    <xf numFmtId="9" fontId="1" fillId="0" borderId="0" xfId="1" applyFont="1"/>
    <xf numFmtId="37" fontId="0" fillId="0" borderId="0" xfId="0" applyNumberFormat="1"/>
    <xf numFmtId="0" fontId="0" fillId="0" borderId="0" xfId="0" applyAlignment="1">
      <alignment horizontal="center"/>
    </xf>
    <xf numFmtId="37" fontId="0" fillId="3" borderId="0" xfId="0" applyNumberFormat="1" applyFill="1"/>
    <xf numFmtId="164" fontId="4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03DD-105B-4DBF-8D44-29EFBC554572}">
  <dimension ref="B2:L99"/>
  <sheetViews>
    <sheetView tabSelected="1" topLeftCell="A91" workbookViewId="0">
      <selection activeCell="B97" sqref="B97"/>
    </sheetView>
  </sheetViews>
  <sheetFormatPr defaultRowHeight="14.4" x14ac:dyDescent="0.3"/>
  <cols>
    <col min="1" max="1" width="1.88671875" customWidth="1"/>
    <col min="2" max="2" width="55.21875" bestFit="1" customWidth="1"/>
    <col min="3" max="3" width="16.77734375" bestFit="1" customWidth="1"/>
    <col min="4" max="4" width="25" bestFit="1" customWidth="1"/>
    <col min="5" max="5" width="16.77734375" bestFit="1" customWidth="1"/>
    <col min="6" max="6" width="20.88671875" customWidth="1"/>
    <col min="7" max="10" width="15.77734375" bestFit="1" customWidth="1"/>
  </cols>
  <sheetData>
    <row r="2" spans="2:10" x14ac:dyDescent="0.3">
      <c r="B2" s="1" t="s">
        <v>0</v>
      </c>
      <c r="C2" s="1"/>
      <c r="D2" s="1"/>
      <c r="E2" s="1"/>
    </row>
    <row r="3" spans="2:10" x14ac:dyDescent="0.3">
      <c r="B3" s="1" t="s">
        <v>1</v>
      </c>
    </row>
    <row r="4" spans="2:10" x14ac:dyDescent="0.3">
      <c r="B4" s="1"/>
    </row>
    <row r="5" spans="2:10" x14ac:dyDescent="0.3">
      <c r="B5" s="2" t="s">
        <v>2</v>
      </c>
      <c r="C5" s="2"/>
      <c r="D5" s="2"/>
      <c r="E5" s="2"/>
    </row>
    <row r="6" spans="2:10" x14ac:dyDescent="0.3">
      <c r="B6" s="3" t="s">
        <v>3</v>
      </c>
      <c r="C6" s="3"/>
      <c r="D6" s="3"/>
      <c r="E6" s="3"/>
    </row>
    <row r="7" spans="2:10" x14ac:dyDescent="0.3">
      <c r="B7" s="1"/>
    </row>
    <row r="8" spans="2:10" x14ac:dyDescent="0.3">
      <c r="B8" s="4" t="s">
        <v>4</v>
      </c>
      <c r="C8" s="4">
        <v>2023</v>
      </c>
      <c r="D8" s="4">
        <v>2024</v>
      </c>
      <c r="E8" s="4">
        <v>2025</v>
      </c>
    </row>
    <row r="10" spans="2:10" x14ac:dyDescent="0.3">
      <c r="B10" t="s">
        <v>5</v>
      </c>
      <c r="C10" s="5">
        <v>33723297</v>
      </c>
      <c r="D10" s="5">
        <v>39000966</v>
      </c>
      <c r="E10" s="5">
        <v>45183036</v>
      </c>
      <c r="F10" s="6"/>
      <c r="G10" s="6"/>
      <c r="H10" s="6"/>
      <c r="I10" s="6"/>
      <c r="J10" s="6"/>
    </row>
    <row r="11" spans="2:10" x14ac:dyDescent="0.3">
      <c r="B11" t="s">
        <v>6</v>
      </c>
      <c r="C11" s="7">
        <v>19715368</v>
      </c>
      <c r="D11" s="7">
        <v>21038464</v>
      </c>
      <c r="E11" s="7">
        <v>23275329</v>
      </c>
    </row>
    <row r="12" spans="2:10" x14ac:dyDescent="0.3">
      <c r="B12" t="s">
        <v>7</v>
      </c>
      <c r="C12" s="8">
        <f>C10-C11</f>
        <v>14007929</v>
      </c>
      <c r="D12" s="8">
        <f t="shared" ref="D12" si="0">D10-D11</f>
        <v>17962502</v>
      </c>
      <c r="E12" s="8">
        <f>E10-E11</f>
        <v>21907707</v>
      </c>
    </row>
    <row r="13" spans="2:10" x14ac:dyDescent="0.3">
      <c r="B13" t="s">
        <v>8</v>
      </c>
      <c r="C13" s="7">
        <v>2657883</v>
      </c>
      <c r="D13" s="7">
        <v>2917554</v>
      </c>
      <c r="E13" s="7">
        <v>3301306</v>
      </c>
    </row>
    <row r="14" spans="2:10" x14ac:dyDescent="0.3">
      <c r="B14" t="s">
        <v>9</v>
      </c>
      <c r="C14" s="7">
        <v>2675758</v>
      </c>
      <c r="D14" s="7">
        <v>2925295</v>
      </c>
      <c r="E14" s="7">
        <v>3391390</v>
      </c>
    </row>
    <row r="15" spans="2:10" x14ac:dyDescent="0.3">
      <c r="B15" t="s">
        <v>10</v>
      </c>
      <c r="C15" s="7">
        <v>1720285</v>
      </c>
      <c r="D15" s="7">
        <v>1702039</v>
      </c>
      <c r="E15" s="7">
        <v>1888408</v>
      </c>
    </row>
    <row r="16" spans="2:10" x14ac:dyDescent="0.3">
      <c r="B16" t="s">
        <v>11</v>
      </c>
      <c r="C16" s="9">
        <f>C12-(C13+C14+C15)</f>
        <v>6954003</v>
      </c>
      <c r="D16" s="9">
        <f t="shared" ref="D16" si="1">D12-(D13+D14+D15)</f>
        <v>10417614</v>
      </c>
      <c r="E16" s="9">
        <f>E12-(E13+E14+E15)</f>
        <v>13326603</v>
      </c>
    </row>
    <row r="17" spans="2:11" x14ac:dyDescent="0.3">
      <c r="B17" t="s">
        <v>12</v>
      </c>
      <c r="C17" s="7">
        <v>-699826</v>
      </c>
      <c r="D17" s="7">
        <v>-718733</v>
      </c>
      <c r="E17" s="7">
        <v>-776510</v>
      </c>
    </row>
    <row r="18" spans="2:11" x14ac:dyDescent="0.3">
      <c r="B18" t="s">
        <v>13</v>
      </c>
      <c r="C18" s="7">
        <v>-48772</v>
      </c>
      <c r="D18" s="7">
        <v>266776</v>
      </c>
      <c r="E18" s="7">
        <v>172459</v>
      </c>
    </row>
    <row r="19" spans="2:11" x14ac:dyDescent="0.3">
      <c r="B19" t="s">
        <v>14</v>
      </c>
      <c r="C19" s="8">
        <f>SUM(C16:C18)</f>
        <v>6205405</v>
      </c>
      <c r="D19" s="8">
        <f t="shared" ref="D19" si="2">SUM(D16:D18)</f>
        <v>9965657</v>
      </c>
      <c r="E19" s="8">
        <f>SUM(E16:E18)</f>
        <v>12722552</v>
      </c>
    </row>
    <row r="20" spans="2:11" x14ac:dyDescent="0.3">
      <c r="B20" t="s">
        <v>15</v>
      </c>
      <c r="C20" s="7">
        <v>-797415</v>
      </c>
      <c r="D20" s="7">
        <v>-1254026</v>
      </c>
      <c r="E20" s="7">
        <v>-1741351</v>
      </c>
    </row>
    <row r="21" spans="2:11" x14ac:dyDescent="0.3">
      <c r="B21" t="s">
        <v>16</v>
      </c>
      <c r="C21" s="9">
        <f>SUM(C19:C20)</f>
        <v>5407990</v>
      </c>
      <c r="D21" s="9">
        <f t="shared" ref="D21" si="3">SUM(D19:D20)</f>
        <v>8711631</v>
      </c>
      <c r="E21" s="9">
        <f>SUM(E19:E20)</f>
        <v>10981201</v>
      </c>
    </row>
    <row r="22" spans="2:11" x14ac:dyDescent="0.3">
      <c r="C22" s="6"/>
      <c r="D22" s="6"/>
      <c r="E22" s="6"/>
    </row>
    <row r="23" spans="2:11" x14ac:dyDescent="0.3">
      <c r="B23" t="s">
        <v>17</v>
      </c>
      <c r="C23" s="7">
        <v>4494966</v>
      </c>
      <c r="D23" s="7">
        <v>4392608</v>
      </c>
      <c r="E23" s="7">
        <v>4343863</v>
      </c>
    </row>
    <row r="24" spans="2:11" x14ac:dyDescent="0.3">
      <c r="B24" t="s">
        <v>18</v>
      </c>
      <c r="C24" s="6">
        <f>(C21)/C23</f>
        <v>1.2031214474147303</v>
      </c>
      <c r="D24" s="6">
        <f t="shared" ref="D24" si="4">(D21)/D23</f>
        <v>1.9832479929918627</v>
      </c>
      <c r="E24" s="6">
        <f>(E21)/E23</f>
        <v>2.5279805095142271</v>
      </c>
    </row>
    <row r="25" spans="2:11" x14ac:dyDescent="0.3">
      <c r="C25" s="6"/>
      <c r="D25" s="6"/>
      <c r="E25" s="6"/>
    </row>
    <row r="26" spans="2:11" x14ac:dyDescent="0.3">
      <c r="C26" s="6"/>
      <c r="D26" s="6"/>
      <c r="E26" s="6"/>
    </row>
    <row r="28" spans="2:11" x14ac:dyDescent="0.3">
      <c r="B28" s="1" t="s">
        <v>19</v>
      </c>
    </row>
    <row r="29" spans="2:11" x14ac:dyDescent="0.3">
      <c r="B29" t="s">
        <v>20</v>
      </c>
      <c r="C29" s="10"/>
      <c r="D29" s="10">
        <f>(D10/C10)-1</f>
        <v>0.15649919994477401</v>
      </c>
      <c r="E29" s="10">
        <f>(E10/D10)-1</f>
        <v>0.15851068919677536</v>
      </c>
      <c r="F29" s="11"/>
      <c r="G29" s="11"/>
      <c r="H29" s="11"/>
      <c r="I29" s="11"/>
      <c r="J29" s="11"/>
      <c r="K29" s="11"/>
    </row>
    <row r="30" spans="2:11" x14ac:dyDescent="0.3">
      <c r="B30" t="s">
        <v>21</v>
      </c>
      <c r="C30" s="10">
        <f>C12/C10</f>
        <v>0.41537839553469519</v>
      </c>
      <c r="D30" s="10">
        <f>D12/D10</f>
        <v>0.46056556650417324</v>
      </c>
      <c r="E30" s="10">
        <f>E12/E10</f>
        <v>0.48486575802475956</v>
      </c>
    </row>
    <row r="31" spans="2:11" x14ac:dyDescent="0.3">
      <c r="B31" t="s">
        <v>22</v>
      </c>
      <c r="C31" s="10">
        <f>C16/C10</f>
        <v>0.20620768485358951</v>
      </c>
      <c r="D31" s="10">
        <f>D16/D10</f>
        <v>0.26711169154117875</v>
      </c>
      <c r="E31" s="10">
        <f>E16/E10</f>
        <v>0.29494704605507255</v>
      </c>
    </row>
    <row r="32" spans="2:11" x14ac:dyDescent="0.3">
      <c r="B32" t="s">
        <v>23</v>
      </c>
      <c r="C32" s="10">
        <f>C21/C10</f>
        <v>0.16036362043723068</v>
      </c>
      <c r="D32" s="10">
        <f>D21/D10</f>
        <v>0.22336962115246067</v>
      </c>
      <c r="E32" s="10">
        <f>E21/E10</f>
        <v>0.24303813935832022</v>
      </c>
    </row>
    <row r="34" spans="2:5" x14ac:dyDescent="0.3">
      <c r="B34" s="1" t="s">
        <v>24</v>
      </c>
    </row>
    <row r="35" spans="2:5" x14ac:dyDescent="0.3">
      <c r="B35" t="s">
        <v>25</v>
      </c>
    </row>
    <row r="36" spans="2:5" x14ac:dyDescent="0.3">
      <c r="B36" t="s">
        <v>26</v>
      </c>
    </row>
    <row r="39" spans="2:5" x14ac:dyDescent="0.3">
      <c r="B39" s="12" t="s">
        <v>27</v>
      </c>
      <c r="C39" s="12"/>
      <c r="D39" s="12"/>
      <c r="E39" s="12"/>
    </row>
    <row r="40" spans="2:5" x14ac:dyDescent="0.3">
      <c r="B40" s="13" t="s">
        <v>28</v>
      </c>
      <c r="C40" s="13"/>
      <c r="D40" s="13"/>
      <c r="E40" s="13"/>
    </row>
    <row r="41" spans="2:5" x14ac:dyDescent="0.3">
      <c r="B41" s="4" t="s">
        <v>4</v>
      </c>
      <c r="C41" s="4">
        <v>2023</v>
      </c>
      <c r="D41" s="4">
        <v>2024</v>
      </c>
      <c r="E41" s="4">
        <v>2025</v>
      </c>
    </row>
    <row r="42" spans="2:5" x14ac:dyDescent="0.3">
      <c r="B42" s="1" t="s">
        <v>29</v>
      </c>
    </row>
    <row r="43" spans="2:5" x14ac:dyDescent="0.3">
      <c r="B43" t="s">
        <v>30</v>
      </c>
      <c r="D43" s="14">
        <v>7804733</v>
      </c>
      <c r="E43" s="14">
        <v>9033681</v>
      </c>
    </row>
    <row r="44" spans="2:5" x14ac:dyDescent="0.3">
      <c r="B44" t="s">
        <v>31</v>
      </c>
      <c r="D44" s="15">
        <v>32452462</v>
      </c>
      <c r="E44" s="15">
        <v>32778392</v>
      </c>
    </row>
    <row r="45" spans="2:5" x14ac:dyDescent="0.3">
      <c r="B45" t="s">
        <v>32</v>
      </c>
      <c r="D45" s="16">
        <v>13373179</v>
      </c>
      <c r="E45" s="16">
        <v>13784920</v>
      </c>
    </row>
    <row r="46" spans="2:5" x14ac:dyDescent="0.3">
      <c r="B46" t="s">
        <v>33</v>
      </c>
      <c r="D46" s="17">
        <f>SUM(D43:D45)</f>
        <v>53630374</v>
      </c>
      <c r="E46" s="17">
        <f>SUM(E43:E45)</f>
        <v>55596993</v>
      </c>
    </row>
    <row r="48" spans="2:5" x14ac:dyDescent="0.3">
      <c r="B48" s="1" t="s">
        <v>34</v>
      </c>
    </row>
    <row r="49" spans="2:5" x14ac:dyDescent="0.3">
      <c r="B49" t="s">
        <v>35</v>
      </c>
      <c r="D49" s="15">
        <v>15582804</v>
      </c>
      <c r="E49" s="15">
        <v>14462836</v>
      </c>
    </row>
    <row r="50" spans="2:5" x14ac:dyDescent="0.3">
      <c r="B50" t="s">
        <v>36</v>
      </c>
      <c r="D50" s="15">
        <v>13304003</v>
      </c>
      <c r="E50" s="15">
        <v>14518669</v>
      </c>
    </row>
    <row r="51" spans="2:5" x14ac:dyDescent="0.3">
      <c r="B51" t="s">
        <v>37</v>
      </c>
      <c r="D51" s="9">
        <f>SUM(D49:D50)</f>
        <v>28886807</v>
      </c>
      <c r="E51" s="9">
        <f>SUM(E49:E50)</f>
        <v>28981505</v>
      </c>
    </row>
    <row r="52" spans="2:5" x14ac:dyDescent="0.3">
      <c r="B52" s="1" t="s">
        <v>38</v>
      </c>
      <c r="D52" s="15">
        <v>24743567</v>
      </c>
      <c r="E52" s="15">
        <v>26615488</v>
      </c>
    </row>
    <row r="53" spans="2:5" x14ac:dyDescent="0.3">
      <c r="B53" t="s">
        <v>39</v>
      </c>
      <c r="D53" s="9">
        <f>SUM(D51:D52)</f>
        <v>53630374</v>
      </c>
      <c r="E53" s="9">
        <f>SUM(E51:E52)</f>
        <v>55596993</v>
      </c>
    </row>
    <row r="55" spans="2:5" x14ac:dyDescent="0.3">
      <c r="B55" t="s">
        <v>40</v>
      </c>
      <c r="D55" s="6">
        <f>D46-D53</f>
        <v>0</v>
      </c>
      <c r="E55" s="6">
        <f>E46-E53</f>
        <v>0</v>
      </c>
    </row>
    <row r="56" spans="2:5" x14ac:dyDescent="0.3">
      <c r="D56" s="6"/>
      <c r="E56" s="6"/>
    </row>
    <row r="57" spans="2:5" x14ac:dyDescent="0.3">
      <c r="B57" s="1"/>
      <c r="D57" s="6"/>
      <c r="E57" s="6"/>
    </row>
    <row r="58" spans="2:5" x14ac:dyDescent="0.3">
      <c r="B58" s="1" t="s">
        <v>41</v>
      </c>
      <c r="D58" s="18">
        <f>D49/D52</f>
        <v>0.62977193223596262</v>
      </c>
      <c r="E58" s="18">
        <f>E49/E52</f>
        <v>0.5433992418249104</v>
      </c>
    </row>
    <row r="59" spans="2:5" x14ac:dyDescent="0.3">
      <c r="B59" s="1" t="s">
        <v>42</v>
      </c>
      <c r="D59" s="19">
        <f>D21/D52</f>
        <v>0.35207660237507388</v>
      </c>
      <c r="E59" s="19">
        <f>E21/E52</f>
        <v>0.41258687422902035</v>
      </c>
    </row>
    <row r="60" spans="2:5" x14ac:dyDescent="0.3">
      <c r="B60" s="1"/>
      <c r="D60" s="19"/>
      <c r="E60" s="19"/>
    </row>
    <row r="61" spans="2:5" x14ac:dyDescent="0.3">
      <c r="B61" s="1" t="s">
        <v>24</v>
      </c>
      <c r="D61" s="19"/>
      <c r="E61" s="19"/>
    </row>
    <row r="62" spans="2:5" x14ac:dyDescent="0.3">
      <c r="B62" t="s">
        <v>43</v>
      </c>
      <c r="D62" s="20"/>
      <c r="E62" s="19"/>
    </row>
    <row r="63" spans="2:5" x14ac:dyDescent="0.3">
      <c r="B63" t="s">
        <v>44</v>
      </c>
      <c r="D63" s="18"/>
      <c r="E63" s="18"/>
    </row>
    <row r="64" spans="2:5" x14ac:dyDescent="0.3">
      <c r="D64" s="21"/>
      <c r="E64" s="21"/>
    </row>
    <row r="65" spans="2:12" x14ac:dyDescent="0.3">
      <c r="B65" s="12" t="s">
        <v>45</v>
      </c>
      <c r="C65" s="12"/>
      <c r="D65" s="12"/>
      <c r="E65" s="12"/>
    </row>
    <row r="66" spans="2:12" x14ac:dyDescent="0.3">
      <c r="B66" s="22" t="s">
        <v>46</v>
      </c>
      <c r="C66" s="22"/>
      <c r="D66" s="22"/>
      <c r="E66" s="22"/>
    </row>
    <row r="67" spans="2:12" x14ac:dyDescent="0.3">
      <c r="B67" s="4" t="s">
        <v>4</v>
      </c>
      <c r="C67" s="4">
        <v>2023</v>
      </c>
      <c r="D67" s="4">
        <v>2024</v>
      </c>
      <c r="E67" s="4">
        <v>2025</v>
      </c>
    </row>
    <row r="68" spans="2:12" x14ac:dyDescent="0.3">
      <c r="B68" t="s">
        <v>16</v>
      </c>
      <c r="C68" s="9">
        <f>C21</f>
        <v>5407990</v>
      </c>
      <c r="D68" s="9">
        <f t="shared" ref="D68" si="5">D21</f>
        <v>8711631</v>
      </c>
      <c r="E68" s="9">
        <f>E21</f>
        <v>10981201</v>
      </c>
    </row>
    <row r="69" spans="2:12" x14ac:dyDescent="0.3">
      <c r="B69" t="s">
        <v>47</v>
      </c>
      <c r="C69" s="15">
        <v>14197437</v>
      </c>
      <c r="D69" s="15">
        <v>15301517</v>
      </c>
      <c r="E69" s="15">
        <v>16422166</v>
      </c>
    </row>
    <row r="70" spans="2:12" x14ac:dyDescent="0.3">
      <c r="B70" t="s">
        <v>48</v>
      </c>
      <c r="C70" s="15">
        <v>-12554703</v>
      </c>
      <c r="D70" s="15">
        <v>-16223617</v>
      </c>
      <c r="E70" s="15">
        <v>-17096617</v>
      </c>
    </row>
    <row r="71" spans="2:12" x14ac:dyDescent="0.3">
      <c r="B71" t="s">
        <v>49</v>
      </c>
      <c r="C71" s="7">
        <v>223577</v>
      </c>
      <c r="D71" s="7">
        <v>-428167</v>
      </c>
      <c r="E71" s="7">
        <v>-157477</v>
      </c>
    </row>
    <row r="72" spans="2:12" x14ac:dyDescent="0.3">
      <c r="B72" t="s">
        <v>50</v>
      </c>
      <c r="C72" s="9">
        <f>SUM(C68:C71)</f>
        <v>7274301</v>
      </c>
      <c r="D72" s="9">
        <f t="shared" ref="D72:E72" si="6">SUM(D68:D71)</f>
        <v>7361364</v>
      </c>
      <c r="E72" s="9">
        <f t="shared" si="6"/>
        <v>10149273</v>
      </c>
      <c r="J72" s="23"/>
      <c r="K72" s="23"/>
      <c r="L72" s="23"/>
    </row>
    <row r="73" spans="2:12" x14ac:dyDescent="0.3">
      <c r="B73" t="s">
        <v>51</v>
      </c>
      <c r="C73" s="15">
        <v>541751</v>
      </c>
      <c r="D73" s="15">
        <v>-2181784</v>
      </c>
      <c r="E73" s="15">
        <v>1041688</v>
      </c>
    </row>
    <row r="74" spans="2:12" x14ac:dyDescent="0.3">
      <c r="B74" t="s">
        <v>52</v>
      </c>
      <c r="C74" s="15">
        <v>-5950803</v>
      </c>
      <c r="D74" s="15">
        <v>-4074427</v>
      </c>
      <c r="E74" s="15">
        <v>-10345623</v>
      </c>
    </row>
    <row r="75" spans="2:12" x14ac:dyDescent="0.3">
      <c r="C75" s="9"/>
    </row>
    <row r="76" spans="2:12" x14ac:dyDescent="0.3">
      <c r="B76" t="s">
        <v>53</v>
      </c>
      <c r="C76" s="24">
        <f>SUM(C72:C74)</f>
        <v>1865249</v>
      </c>
      <c r="D76" s="24">
        <f t="shared" ref="D76:E76" si="7">SUM(D72:D74)</f>
        <v>1105153</v>
      </c>
      <c r="E76" s="24">
        <f t="shared" si="7"/>
        <v>845338</v>
      </c>
      <c r="G76" s="9"/>
    </row>
    <row r="77" spans="2:12" x14ac:dyDescent="0.3">
      <c r="B77" t="s">
        <v>54</v>
      </c>
      <c r="C77" s="15">
        <v>82684</v>
      </c>
      <c r="D77" s="15">
        <v>-416331</v>
      </c>
      <c r="E77" s="15">
        <v>386519</v>
      </c>
    </row>
    <row r="78" spans="2:12" x14ac:dyDescent="0.3">
      <c r="B78" t="s">
        <v>55</v>
      </c>
      <c r="C78" s="9">
        <f>C76+C77</f>
        <v>1947933</v>
      </c>
      <c r="D78" s="9">
        <f>D76+D77</f>
        <v>688822</v>
      </c>
      <c r="E78" s="9">
        <f>E76+E77</f>
        <v>1231857</v>
      </c>
      <c r="F78" s="21"/>
      <c r="H78" s="21"/>
      <c r="J78" s="8"/>
    </row>
    <row r="79" spans="2:12" x14ac:dyDescent="0.3">
      <c r="B79" t="s">
        <v>56</v>
      </c>
      <c r="C79" s="15">
        <v>5170582</v>
      </c>
      <c r="D79" s="15">
        <v>7118515</v>
      </c>
      <c r="E79" s="15">
        <v>7807337</v>
      </c>
      <c r="F79" s="9"/>
    </row>
    <row r="80" spans="2:12" x14ac:dyDescent="0.3">
      <c r="B80" t="s">
        <v>57</v>
      </c>
      <c r="C80" s="9">
        <f>SUM(C78+C79)</f>
        <v>7118515</v>
      </c>
      <c r="D80" s="9">
        <f>SUM(D78+D79)</f>
        <v>7807337</v>
      </c>
      <c r="E80" s="9">
        <f>SUM(E78+E79)</f>
        <v>9039194</v>
      </c>
    </row>
    <row r="81" spans="2:7" x14ac:dyDescent="0.3">
      <c r="G81" s="17"/>
    </row>
    <row r="82" spans="2:7" x14ac:dyDescent="0.3">
      <c r="B82" t="s">
        <v>58</v>
      </c>
    </row>
    <row r="84" spans="2:7" x14ac:dyDescent="0.3">
      <c r="B84" s="1" t="s">
        <v>59</v>
      </c>
      <c r="C84" s="21">
        <f>SUM(C70,C72)</f>
        <v>-5280402</v>
      </c>
      <c r="D84" s="21">
        <f t="shared" ref="D84:E84" si="8">SUM(D70,D72)</f>
        <v>-8862253</v>
      </c>
      <c r="E84" s="21">
        <f t="shared" si="8"/>
        <v>-6947344</v>
      </c>
    </row>
    <row r="85" spans="2:7" x14ac:dyDescent="0.3">
      <c r="B85" t="s">
        <v>60</v>
      </c>
    </row>
    <row r="87" spans="2:7" x14ac:dyDescent="0.3">
      <c r="B87" s="1" t="s">
        <v>61</v>
      </c>
    </row>
    <row r="88" spans="2:7" x14ac:dyDescent="0.3">
      <c r="B88" t="s">
        <v>62</v>
      </c>
    </row>
    <row r="89" spans="2:7" x14ac:dyDescent="0.3">
      <c r="B89" t="s">
        <v>63</v>
      </c>
    </row>
    <row r="90" spans="2:7" x14ac:dyDescent="0.3">
      <c r="B90" t="s">
        <v>64</v>
      </c>
    </row>
    <row r="91" spans="2:7" x14ac:dyDescent="0.3">
      <c r="B91" t="s">
        <v>65</v>
      </c>
    </row>
    <row r="93" spans="2:7" x14ac:dyDescent="0.3">
      <c r="C93" s="17"/>
      <c r="D93" s="17"/>
    </row>
    <row r="96" spans="2:7" x14ac:dyDescent="0.3">
      <c r="C96" s="24"/>
      <c r="D96" s="24"/>
      <c r="E96" s="24"/>
    </row>
    <row r="98" spans="5:5" x14ac:dyDescent="0.3">
      <c r="E98" s="14"/>
    </row>
    <row r="99" spans="5:5" x14ac:dyDescent="0.3">
      <c r="E99" s="9"/>
    </row>
  </sheetData>
  <mergeCells count="6">
    <mergeCell ref="B5:E5"/>
    <mergeCell ref="B6:E6"/>
    <mergeCell ref="B39:E39"/>
    <mergeCell ref="B40:E40"/>
    <mergeCell ref="B65:E65"/>
    <mergeCell ref="B66:E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wadichar</dc:creator>
  <cp:lastModifiedBy>shubham wadichar</cp:lastModifiedBy>
  <dcterms:created xsi:type="dcterms:W3CDTF">2026-02-19T08:40:31Z</dcterms:created>
  <dcterms:modified xsi:type="dcterms:W3CDTF">2026-02-19T08:42:29Z</dcterms:modified>
</cp:coreProperties>
</file>